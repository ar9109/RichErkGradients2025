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rich/Documents/DiTaliaLab/Experiments_inProg/2_19_2026_mEOSprep/"/>
    </mc:Choice>
  </mc:AlternateContent>
  <xr:revisionPtr revIDLastSave="0" documentId="13_ncr:1_{813002AC-A344-3C4A-A633-15C6CF607F7B}" xr6:coauthVersionLast="47" xr6:coauthVersionMax="47" xr10:uidLastSave="{00000000-0000-0000-0000-000000000000}"/>
  <bookViews>
    <workbookView xWindow="-34940" yWindow="100" windowWidth="29520" windowHeight="18100" xr2:uid="{41B5095A-C1F9-7F4C-AEA0-1E42632F10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M9" i="1"/>
  <c r="P7" i="1"/>
  <c r="M7" i="1"/>
  <c r="P12" i="1"/>
  <c r="P11" i="1"/>
  <c r="P10" i="1"/>
  <c r="P8" i="1"/>
  <c r="P6" i="1"/>
  <c r="P5" i="1"/>
  <c r="P3" i="1"/>
  <c r="M14" i="1"/>
  <c r="M13" i="1"/>
  <c r="M12" i="1"/>
  <c r="M11" i="1"/>
  <c r="M10" i="1"/>
  <c r="M6" i="1"/>
  <c r="M5" i="1"/>
  <c r="M4" i="1"/>
  <c r="M3" i="1"/>
  <c r="M8" i="1"/>
  <c r="G13" i="1"/>
  <c r="J13" i="1" s="1"/>
  <c r="G12" i="1"/>
  <c r="J12" i="1" s="1"/>
  <c r="G10" i="1"/>
  <c r="J10" i="1" s="1"/>
  <c r="F14" i="1"/>
  <c r="G14" i="1" s="1"/>
  <c r="J14" i="1" s="1"/>
  <c r="F13" i="1"/>
  <c r="F12" i="1"/>
  <c r="F11" i="1"/>
  <c r="G11" i="1" s="1"/>
  <c r="J11" i="1" s="1"/>
  <c r="F10" i="1"/>
  <c r="J7" i="1"/>
  <c r="F7" i="1"/>
  <c r="G7" i="1" s="1"/>
  <c r="F9" i="1"/>
  <c r="G9" i="1" s="1"/>
  <c r="J9" i="1" s="1"/>
  <c r="F8" i="1"/>
  <c r="G8" i="1" s="1"/>
  <c r="J8" i="1" s="1"/>
  <c r="F6" i="1"/>
  <c r="G6" i="1" s="1"/>
  <c r="J6" i="1" s="1"/>
  <c r="F3" i="1"/>
  <c r="G3" i="1" s="1"/>
  <c r="J3" i="1" s="1"/>
  <c r="F4" i="1"/>
  <c r="G4" i="1" s="1"/>
  <c r="J4" i="1" s="1"/>
  <c r="F5" i="1"/>
  <c r="G5" i="1" s="1"/>
  <c r="J5" i="1" s="1"/>
</calcChain>
</file>

<file path=xl/sharedStrings.xml><?xml version="1.0" encoding="utf-8"?>
<sst xmlns="http://schemas.openxmlformats.org/spreadsheetml/2006/main" count="26" uniqueCount="18">
  <si>
    <t>fish</t>
  </si>
  <si>
    <t>ray</t>
  </si>
  <si>
    <t>pre</t>
  </si>
  <si>
    <t>post</t>
  </si>
  <si>
    <t>Lamp</t>
  </si>
  <si>
    <t>Lamp_um</t>
  </si>
  <si>
    <t>convDay</t>
  </si>
  <si>
    <t>Lreg_conv</t>
  </si>
  <si>
    <t>**</t>
  </si>
  <si>
    <t>*?</t>
  </si>
  <si>
    <t>phi_t0</t>
  </si>
  <si>
    <t>Lreg_t1</t>
  </si>
  <si>
    <t>phi_t1</t>
  </si>
  <si>
    <t>time_t0</t>
  </si>
  <si>
    <t>time_t1</t>
  </si>
  <si>
    <t>Lreg_t2</t>
  </si>
  <si>
    <t>phi_t2</t>
  </si>
  <si>
    <t>time_t2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</si>
</sst>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B0E2-F0F7-BF47-B4AA-7A36333C529D}">
  <dimension ref="A1:Q14"/>
  <sheetViews>
    <sheetView tabSelected="1" zoomScale="150" zoomScaleNormal="15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G16" sqref="G16"/>
    </sheetView>
  </sheetViews>
  <sheetFormatPr baseColWidth="10" defaultRowHeight="16" x14ac:dyDescent="0.2"/>
  <sheetData>
    <row r="1" spans="1:17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</row>
    <row r="2" spans="1:17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10</v>
      </c>
      <c r="K2" t="s">
        <v>13</v>
      </c>
      <c r="L2" t="s">
        <v>11</v>
      </c>
      <c r="M2" t="s">
        <v>12</v>
      </c>
      <c r="N2" t="s">
        <v>14</v>
      </c>
      <c r="O2" t="s">
        <v>15</v>
      </c>
      <c r="P2" t="s">
        <v>16</v>
      </c>
      <c r="Q2" t="s">
        <v>17</v>
      </c>
    </row>
    <row r="3" spans="1:17" s="5" customFormat="1" x14ac:dyDescent="0.2">
      <c r="A3" s="4" t="s">
        <v>8</v>
      </c>
      <c r="B3" s="5">
        <v>1</v>
      </c>
      <c r="C3" s="5">
        <v>3</v>
      </c>
      <c r="D3" s="5">
        <v>12.872</v>
      </c>
      <c r="E3" s="5">
        <v>1.8979999999999999</v>
      </c>
      <c r="F3" s="5">
        <f>D3-E3</f>
        <v>10.974</v>
      </c>
      <c r="G3" s="5">
        <f>F3*(96000/280)</f>
        <v>3762.5142857142855</v>
      </c>
      <c r="H3" s="5">
        <v>12</v>
      </c>
      <c r="I3" s="5">
        <v>2815.9589999999998</v>
      </c>
      <c r="J3" s="5">
        <f>I3/G3</f>
        <v>0.74842479952615271</v>
      </c>
      <c r="K3" s="5">
        <v>286</v>
      </c>
      <c r="L3" s="5">
        <v>2869.4929999999999</v>
      </c>
      <c r="M3" s="5">
        <f t="shared" ref="M3:M7" si="0">L3/G3</f>
        <v>0.76265305115120585</v>
      </c>
      <c r="N3" s="5">
        <v>298</v>
      </c>
      <c r="O3" s="5">
        <v>2913.4569999999999</v>
      </c>
      <c r="P3" s="5">
        <f>O3/G3</f>
        <v>0.77433779083895271</v>
      </c>
      <c r="Q3" s="5">
        <v>310</v>
      </c>
    </row>
    <row r="4" spans="1:17" x14ac:dyDescent="0.2">
      <c r="A4" s="1" t="s">
        <v>8</v>
      </c>
      <c r="B4">
        <v>3</v>
      </c>
      <c r="C4">
        <v>3</v>
      </c>
      <c r="D4">
        <v>12.952</v>
      </c>
      <c r="E4">
        <v>1.7350000000000001</v>
      </c>
      <c r="F4">
        <f>D4-E4</f>
        <v>11.217000000000001</v>
      </c>
      <c r="G4">
        <f>F4*(96000/280)</f>
        <v>3845.8285714285712</v>
      </c>
      <c r="H4">
        <v>5</v>
      </c>
      <c r="I4" s="3">
        <v>1119.4290000000001</v>
      </c>
      <c r="J4">
        <f>I4/G4</f>
        <v>0.29107615672639747</v>
      </c>
      <c r="K4">
        <v>118</v>
      </c>
      <c r="L4" s="3">
        <v>1206.7929999999999</v>
      </c>
      <c r="M4" s="3">
        <f t="shared" si="0"/>
        <v>0.313792717898428</v>
      </c>
      <c r="N4">
        <v>128</v>
      </c>
      <c r="O4" s="6"/>
      <c r="P4" s="6"/>
      <c r="Q4" s="6"/>
    </row>
    <row r="5" spans="1:17" s="5" customFormat="1" x14ac:dyDescent="0.2">
      <c r="A5" s="4" t="s">
        <v>8</v>
      </c>
      <c r="B5" s="5">
        <v>4</v>
      </c>
      <c r="C5" s="5">
        <v>2</v>
      </c>
      <c r="D5" s="5">
        <v>15.087</v>
      </c>
      <c r="E5" s="5">
        <v>3.2749999999999999</v>
      </c>
      <c r="F5" s="5">
        <f>D5-E5</f>
        <v>11.811999999999999</v>
      </c>
      <c r="G5" s="5">
        <f>F5*(96000/280)</f>
        <v>4049.8285714285707</v>
      </c>
      <c r="H5" s="5">
        <v>4</v>
      </c>
      <c r="I5" s="5">
        <v>760.24800000000005</v>
      </c>
      <c r="J5" s="5">
        <f>I5/G5</f>
        <v>0.18772350152387407</v>
      </c>
      <c r="K5" s="5">
        <v>94</v>
      </c>
      <c r="L5" s="5">
        <v>890.22299999999996</v>
      </c>
      <c r="M5" s="5">
        <f t="shared" si="0"/>
        <v>0.21981745259058588</v>
      </c>
      <c r="N5" s="5">
        <v>104</v>
      </c>
      <c r="O5" s="5">
        <v>1011.211</v>
      </c>
      <c r="P5" s="5">
        <f t="shared" ref="P4:P14" si="1">O5/G5</f>
        <v>0.24969229738119431</v>
      </c>
      <c r="Q5" s="5">
        <v>121</v>
      </c>
    </row>
    <row r="6" spans="1:17" x14ac:dyDescent="0.2">
      <c r="A6" s="2" t="s">
        <v>8</v>
      </c>
      <c r="B6">
        <v>6</v>
      </c>
      <c r="C6">
        <v>2</v>
      </c>
      <c r="D6">
        <v>14.026999999999999</v>
      </c>
      <c r="E6">
        <v>2.391</v>
      </c>
      <c r="F6">
        <f>D6-E6</f>
        <v>11.635999999999999</v>
      </c>
      <c r="G6">
        <f>F6*(96000/280)</f>
        <v>3989.4857142857136</v>
      </c>
      <c r="H6">
        <v>9</v>
      </c>
      <c r="I6" s="3">
        <v>2115.0880000000002</v>
      </c>
      <c r="J6">
        <f>I6/G6</f>
        <v>0.53016557809098219</v>
      </c>
      <c r="K6">
        <v>220</v>
      </c>
      <c r="L6" s="3">
        <v>2201.9859999999999</v>
      </c>
      <c r="M6" s="3">
        <f t="shared" si="0"/>
        <v>0.55194733298957266</v>
      </c>
      <c r="N6">
        <v>231</v>
      </c>
      <c r="O6" s="3">
        <v>2256.598</v>
      </c>
      <c r="P6">
        <f t="shared" si="1"/>
        <v>0.56563631545777482</v>
      </c>
      <c r="Q6">
        <v>242</v>
      </c>
    </row>
    <row r="7" spans="1:17" s="5" customFormat="1" x14ac:dyDescent="0.2">
      <c r="A7" s="4" t="s">
        <v>8</v>
      </c>
      <c r="B7" s="5">
        <v>7</v>
      </c>
      <c r="C7" s="5">
        <v>2</v>
      </c>
      <c r="D7" s="5">
        <v>14.366</v>
      </c>
      <c r="E7" s="5">
        <v>2.34</v>
      </c>
      <c r="F7" s="5">
        <f>D7-E7</f>
        <v>12.026</v>
      </c>
      <c r="G7" s="5">
        <f>F7*(96000/280)</f>
        <v>4123.2</v>
      </c>
      <c r="H7" s="5">
        <v>9.5</v>
      </c>
      <c r="I7" s="5">
        <v>2561.498</v>
      </c>
      <c r="J7" s="5">
        <f>I7/G7</f>
        <v>0.62124029879705089</v>
      </c>
      <c r="K7" s="5">
        <v>231</v>
      </c>
      <c r="L7" s="5">
        <v>2626.46</v>
      </c>
      <c r="M7" s="5">
        <f t="shared" si="0"/>
        <v>0.63699553744664339</v>
      </c>
      <c r="N7" s="5">
        <v>242</v>
      </c>
      <c r="O7" s="5">
        <v>2708.8029999999999</v>
      </c>
      <c r="P7" s="5">
        <f t="shared" si="1"/>
        <v>0.65696619130772216</v>
      </c>
      <c r="Q7" s="5">
        <v>252</v>
      </c>
    </row>
    <row r="8" spans="1:17" s="3" customFormat="1" x14ac:dyDescent="0.2">
      <c r="A8" s="1" t="s">
        <v>9</v>
      </c>
      <c r="B8" s="3">
        <v>8</v>
      </c>
      <c r="C8" s="3">
        <v>2</v>
      </c>
      <c r="D8" s="3">
        <v>16.620999999999999</v>
      </c>
      <c r="E8" s="3">
        <v>3.2450000000000001</v>
      </c>
      <c r="F8" s="3">
        <f>D8-E8</f>
        <v>13.375999999999998</v>
      </c>
      <c r="G8" s="3">
        <f>F8*(96000/280)</f>
        <v>4586.057142857142</v>
      </c>
      <c r="H8" s="3">
        <v>7</v>
      </c>
      <c r="I8" s="3">
        <v>1860.596</v>
      </c>
      <c r="J8" s="3">
        <f>I8/G8</f>
        <v>0.40570711224082939</v>
      </c>
      <c r="K8" s="3">
        <v>168</v>
      </c>
      <c r="L8" s="3">
        <v>1940.373</v>
      </c>
      <c r="M8" s="3">
        <f>L8/G8</f>
        <v>0.42310266522129197</v>
      </c>
      <c r="N8" s="3">
        <v>180</v>
      </c>
      <c r="O8" s="3">
        <v>1967.8530000000001</v>
      </c>
      <c r="P8" s="3">
        <f t="shared" si="1"/>
        <v>0.42909474058014363</v>
      </c>
      <c r="Q8" s="3">
        <v>191</v>
      </c>
    </row>
    <row r="9" spans="1:17" s="5" customFormat="1" x14ac:dyDescent="0.2">
      <c r="A9" s="4" t="s">
        <v>9</v>
      </c>
      <c r="B9" s="5">
        <v>9</v>
      </c>
      <c r="C9" s="5">
        <v>2</v>
      </c>
      <c r="D9" s="5">
        <v>13.881</v>
      </c>
      <c r="E9" s="5">
        <v>3.6259999999999999</v>
      </c>
      <c r="F9" s="5">
        <f>D9-E9</f>
        <v>10.255000000000001</v>
      </c>
      <c r="G9" s="5">
        <f>F9*(96000/280)</f>
        <v>3516</v>
      </c>
      <c r="H9" s="5">
        <v>7</v>
      </c>
      <c r="I9" s="5">
        <v>1517.6469999999999</v>
      </c>
      <c r="J9" s="5">
        <f>I9/G9</f>
        <v>0.43164021615472126</v>
      </c>
      <c r="K9" s="5">
        <v>169</v>
      </c>
      <c r="L9" s="5">
        <v>1617.3209999999999</v>
      </c>
      <c r="M9" s="5">
        <f>L9/G9</f>
        <v>0.45998890784982932</v>
      </c>
      <c r="N9" s="5">
        <v>180</v>
      </c>
      <c r="O9" s="5">
        <v>1731.03</v>
      </c>
      <c r="P9" s="5">
        <f t="shared" si="1"/>
        <v>0.49232935153583618</v>
      </c>
      <c r="Q9" s="5">
        <v>191</v>
      </c>
    </row>
    <row r="10" spans="1:17" x14ac:dyDescent="0.2">
      <c r="A10" s="2" t="s">
        <v>8</v>
      </c>
      <c r="B10">
        <v>10</v>
      </c>
      <c r="C10">
        <v>2</v>
      </c>
      <c r="D10">
        <v>13.404</v>
      </c>
      <c r="E10">
        <v>2.6459999999999999</v>
      </c>
      <c r="F10" s="3">
        <f>D10-E10</f>
        <v>10.757999999999999</v>
      </c>
      <c r="G10" s="3">
        <f>F10*(96000/280)</f>
        <v>3688.4571428571421</v>
      </c>
      <c r="H10" s="3">
        <v>5</v>
      </c>
      <c r="I10" s="3">
        <v>920.29499999999996</v>
      </c>
      <c r="J10" s="3">
        <f>I10/G10</f>
        <v>0.24950676240936981</v>
      </c>
      <c r="K10">
        <v>119</v>
      </c>
      <c r="L10" s="3">
        <v>971.79100000000005</v>
      </c>
      <c r="M10" s="3">
        <f t="shared" ref="M9:M14" si="2">L10/G10</f>
        <v>0.26346815548119235</v>
      </c>
      <c r="N10">
        <v>129</v>
      </c>
      <c r="O10" s="3">
        <v>1162.2750000000001</v>
      </c>
      <c r="P10">
        <f t="shared" si="1"/>
        <v>0.31511142870422021</v>
      </c>
      <c r="Q10">
        <v>143</v>
      </c>
    </row>
    <row r="11" spans="1:17" s="5" customFormat="1" x14ac:dyDescent="0.2">
      <c r="B11" s="5">
        <v>11</v>
      </c>
      <c r="C11" s="5">
        <v>2</v>
      </c>
      <c r="D11" s="5">
        <v>16.434000000000001</v>
      </c>
      <c r="E11" s="5">
        <v>4.2949999999999999</v>
      </c>
      <c r="F11" s="5">
        <f>D11-E11</f>
        <v>12.139000000000001</v>
      </c>
      <c r="G11" s="5">
        <f>F11*(96000/280)</f>
        <v>4161.9428571428571</v>
      </c>
      <c r="H11" s="5">
        <v>5</v>
      </c>
      <c r="I11" s="5">
        <v>1080.2360000000001</v>
      </c>
      <c r="J11" s="5">
        <f>I11/G11</f>
        <v>0.25955089655929925</v>
      </c>
      <c r="K11" s="5">
        <v>119</v>
      </c>
      <c r="L11" s="5">
        <v>1171.8109999999999</v>
      </c>
      <c r="M11" s="5">
        <f t="shared" si="2"/>
        <v>0.28155384161243374</v>
      </c>
      <c r="N11" s="5">
        <v>129</v>
      </c>
      <c r="O11" s="5">
        <v>1375.11</v>
      </c>
      <c r="P11" s="5">
        <f t="shared" si="1"/>
        <v>0.33040098031139303</v>
      </c>
      <c r="Q11" s="5">
        <v>143</v>
      </c>
    </row>
    <row r="12" spans="1:17" x14ac:dyDescent="0.2">
      <c r="B12">
        <v>12</v>
      </c>
      <c r="C12">
        <v>2</v>
      </c>
      <c r="D12">
        <v>14.539</v>
      </c>
      <c r="E12">
        <v>2.6659999999999999</v>
      </c>
      <c r="F12" s="3">
        <f>D12-E12</f>
        <v>11.872999999999999</v>
      </c>
      <c r="G12" s="3">
        <f>F12*(96000/280)</f>
        <v>4070.7428571428568</v>
      </c>
      <c r="H12" s="3">
        <v>4</v>
      </c>
      <c r="I12" s="3">
        <v>736.64700000000005</v>
      </c>
      <c r="J12" s="3">
        <f>I12/G12</f>
        <v>0.1809613198012297</v>
      </c>
      <c r="K12">
        <v>99</v>
      </c>
      <c r="L12" s="3">
        <v>836.64599999999996</v>
      </c>
      <c r="M12" s="3">
        <f t="shared" si="2"/>
        <v>0.20552661500884359</v>
      </c>
      <c r="N12">
        <v>107</v>
      </c>
      <c r="O12" s="3">
        <v>963.96699999999998</v>
      </c>
      <c r="P12">
        <f t="shared" si="1"/>
        <v>0.23680370729105255</v>
      </c>
      <c r="Q12">
        <v>121</v>
      </c>
    </row>
    <row r="13" spans="1:17" s="5" customFormat="1" x14ac:dyDescent="0.2">
      <c r="A13" s="4" t="s">
        <v>8</v>
      </c>
      <c r="B13" s="5">
        <v>16</v>
      </c>
      <c r="C13" s="5">
        <v>2</v>
      </c>
      <c r="D13" s="5">
        <v>13.815</v>
      </c>
      <c r="E13" s="5">
        <v>2.3639999999999999</v>
      </c>
      <c r="F13" s="5">
        <f>D13-E13</f>
        <v>11.451000000000001</v>
      </c>
      <c r="G13" s="5">
        <f>F13*(96000/280)</f>
        <v>3926.0571428571429</v>
      </c>
      <c r="H13" s="5">
        <v>3</v>
      </c>
      <c r="I13" s="5">
        <v>342.55099999999999</v>
      </c>
      <c r="J13" s="5">
        <f>I13/G13</f>
        <v>8.7250640409862301E-2</v>
      </c>
      <c r="K13" s="5">
        <v>73</v>
      </c>
      <c r="L13" s="5">
        <v>447.553</v>
      </c>
      <c r="M13" s="5">
        <f t="shared" si="2"/>
        <v>0.11399553896311822</v>
      </c>
      <c r="N13" s="5">
        <v>79</v>
      </c>
      <c r="O13" s="6"/>
      <c r="P13" s="6"/>
      <c r="Q13" s="6"/>
    </row>
    <row r="14" spans="1:17" x14ac:dyDescent="0.2">
      <c r="A14" s="2" t="s">
        <v>8</v>
      </c>
      <c r="B14">
        <v>163</v>
      </c>
      <c r="C14">
        <v>3</v>
      </c>
      <c r="D14">
        <v>12.587</v>
      </c>
      <c r="E14">
        <v>1.1200000000000001</v>
      </c>
      <c r="F14" s="3">
        <f>D14-E14</f>
        <v>11.466999999999999</v>
      </c>
      <c r="G14" s="3">
        <f>F14*(96000/280)</f>
        <v>3931.5428571428565</v>
      </c>
      <c r="H14">
        <v>3</v>
      </c>
      <c r="I14" s="3">
        <v>478.18</v>
      </c>
      <c r="J14" s="3">
        <f>I14/G14</f>
        <v>0.12162655155373392</v>
      </c>
      <c r="K14">
        <v>73</v>
      </c>
      <c r="L14" s="3">
        <v>543.54399999999998</v>
      </c>
      <c r="M14" s="3">
        <f t="shared" si="2"/>
        <v>0.1382520856951833</v>
      </c>
      <c r="N14">
        <v>79</v>
      </c>
      <c r="O14" s="6"/>
      <c r="P14" s="6"/>
      <c r="Q14" s="6"/>
    </row>
  </sheetData>
  <sortState xmlns:xlrd2="http://schemas.microsoft.com/office/spreadsheetml/2017/richdata2" ref="A3:J14">
    <sortCondition ref="B3:B14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Rich</dc:creator>
  <cp:lastModifiedBy>Ashley Rich</cp:lastModifiedBy>
  <dcterms:created xsi:type="dcterms:W3CDTF">2026-03-11T18:31:08Z</dcterms:created>
  <dcterms:modified xsi:type="dcterms:W3CDTF">2026-03-27T14:33:26Z</dcterms:modified>
</cp:coreProperties>
</file>